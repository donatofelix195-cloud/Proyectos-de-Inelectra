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hare\Temporal\Miguel\"/>
    </mc:Choice>
  </mc:AlternateContent>
  <xr:revisionPtr revIDLastSave="0" documentId="13_ncr:1_{E32A18F9-67B3-497F-B90D-DF810411C3F9}" xr6:coauthVersionLast="47" xr6:coauthVersionMax="47" xr10:uidLastSave="{00000000-0000-0000-0000-000000000000}"/>
  <bookViews>
    <workbookView xWindow="-120" yWindow="-120" windowWidth="29040" windowHeight="15840" activeTab="1" xr2:uid="{8D5A9F4A-D8C4-46F8-9718-0555839B4D35}"/>
  </bookViews>
  <sheets>
    <sheet name="Sheet1" sheetId="1" r:id="rId1"/>
    <sheet name="Sheet2" sheetId="2" r:id="rId2"/>
  </sheets>
  <definedNames>
    <definedName name="_xlnm._FilterDatabase" localSheetId="0" hidden="1">Sheet1!$A$1:$R$25</definedName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3" i="1" s="1"/>
  <c r="C42" i="1" l="1"/>
  <c r="C44" i="1" s="1"/>
</calcChain>
</file>

<file path=xl/sharedStrings.xml><?xml version="1.0" encoding="utf-8"?>
<sst xmlns="http://schemas.openxmlformats.org/spreadsheetml/2006/main" count="171" uniqueCount="107">
  <si>
    <t>BLOQUE</t>
  </si>
  <si>
    <t>DIAMETRO</t>
  </si>
  <si>
    <t>LONGITUD</t>
  </si>
  <si>
    <t>ELEVACION</t>
  </si>
  <si>
    <t>CABLE_TIPO_1</t>
  </si>
  <si>
    <t>CANTIDAD_1</t>
  </si>
  <si>
    <t>CABLE_TIPO_2</t>
  </si>
  <si>
    <t>CANTIDAD_2</t>
  </si>
  <si>
    <t>CABLE_TIPO_3</t>
  </si>
  <si>
    <t>CANTIDAD_3</t>
  </si>
  <si>
    <t>CABLE_TIPO_4</t>
  </si>
  <si>
    <t>CANTIDAD_4</t>
  </si>
  <si>
    <t>CABLE_TIPO_5</t>
  </si>
  <si>
    <t>CANTIDAD_5</t>
  </si>
  <si>
    <t>CANTIDAD</t>
  </si>
  <si>
    <t>REDUCTOR_1</t>
  </si>
  <si>
    <t>REDUCTOR_2</t>
  </si>
  <si>
    <t>REDUCTOR_3</t>
  </si>
  <si>
    <t>CONDUIT_ANALOGIC</t>
  </si>
  <si>
    <t>0.53"</t>
  </si>
  <si>
    <t>3/4"</t>
  </si>
  <si>
    <t>CONDUIT_ANALOGIC_CIRCLE</t>
  </si>
  <si>
    <t>0.47"</t>
  </si>
  <si>
    <t>CONDUIT_ANALOGIC_CURVE</t>
  </si>
  <si>
    <t>0.31"</t>
  </si>
  <si>
    <t>CONDUIT_COMUNIC</t>
  </si>
  <si>
    <t>CONDUIT_COMUNIC_CIRCLE</t>
  </si>
  <si>
    <t>0.51"</t>
  </si>
  <si>
    <t>CONDUIT_COMUNIC_CURVE</t>
  </si>
  <si>
    <t>0.44"</t>
  </si>
  <si>
    <t>CONDUIT_DISCRET</t>
  </si>
  <si>
    <t>CONDUIT_DISCRET_CIRCLE</t>
  </si>
  <si>
    <t>0.43"</t>
  </si>
  <si>
    <t>CONDUIT_DISCRET_CURVE</t>
  </si>
  <si>
    <t>0.26"</t>
  </si>
  <si>
    <t>CONDUIT_F&amp;G</t>
  </si>
  <si>
    <t>CONDUIT_F&amp;G_CIRCLE</t>
  </si>
  <si>
    <t>0.61"</t>
  </si>
  <si>
    <t>CONDUIT_F&amp;G_CURVE</t>
  </si>
  <si>
    <t>CONDULETA_1-1-2_IN</t>
  </si>
  <si>
    <t>1 1/2"</t>
  </si>
  <si>
    <t>1"</t>
  </si>
  <si>
    <t>CONDULETA_1_IN</t>
  </si>
  <si>
    <t>CONDULETA_2_IN</t>
  </si>
  <si>
    <t>2"</t>
  </si>
  <si>
    <t>CONDULETA_3-4_IN</t>
  </si>
  <si>
    <t>TEE_1-1-2_IN</t>
  </si>
  <si>
    <t>TEE_1-1-2_IN_SAME_LEVEL</t>
  </si>
  <si>
    <t>TEE_1_IN</t>
  </si>
  <si>
    <t>TEE_1_IN_SAME_LEVEL</t>
  </si>
  <si>
    <t>TEE_2_IN</t>
  </si>
  <si>
    <t>TEE_2_IN_SAME_LEVEL</t>
  </si>
  <si>
    <t>TEE_3-4_IN</t>
  </si>
  <si>
    <t>TEE_3-4_IN_SAME_LEVEL</t>
  </si>
  <si>
    <t>--- ANEXO: ACCESORIOS TEE ---</t>
  </si>
  <si>
    <t>Total Extraido</t>
  </si>
  <si>
    <t>Calculo 60% TEE</t>
  </si>
  <si>
    <t>Restante TB</t>
  </si>
  <si>
    <t>--- ANEXO: CONDULETAS ---</t>
  </si>
  <si>
    <t>Total Extraidas</t>
  </si>
  <si>
    <t>LR (30%)</t>
  </si>
  <si>
    <t>LB (30%)</t>
  </si>
  <si>
    <t>LL (40%)</t>
  </si>
  <si>
    <t>--- ANEXO: CONDUIT ---</t>
  </si>
  <si>
    <t>Total Longitud (MM)</t>
  </si>
  <si>
    <t>Metros Totales (MT)</t>
  </si>
  <si>
    <t>Total Pulgadas (IN)</t>
  </si>
  <si>
    <t>Piezas Estimadas (PZ)</t>
  </si>
  <si>
    <t>CODIGO</t>
  </si>
  <si>
    <t>DESCRIPCIÓN</t>
  </si>
  <si>
    <t>CXLBF68KA001000000</t>
  </si>
  <si>
    <t>CONDULETA TIPO "LB", FERALOY/ELECTROGALV.,CON PINTURA ACRILICA DE ALUMINIO, FORMA 8, AREA NO PELIGROSA, ROSCA HEMBRA</t>
  </si>
  <si>
    <t>CXLBF68KA002000000</t>
  </si>
  <si>
    <t>CXLBF68KA003000000</t>
  </si>
  <si>
    <t>CXLBF68KA004000000</t>
  </si>
  <si>
    <t>CXLBF68KA00D000000</t>
  </si>
  <si>
    <t>CXLBF68KA00F000000</t>
  </si>
  <si>
    <t>CXLBF68KA01D000000</t>
  </si>
  <si>
    <t>CXLRF68KA001000000</t>
  </si>
  <si>
    <t>CONDULETA TIPO "LR", FERALOY/ELECTROGALV.,CON PINTURA ACRILICA DE ALUMINIO, FORMA 8, AREA NO PELIGROSA, ROSCA HEMBRA</t>
  </si>
  <si>
    <t>CXLRF68KA002000000</t>
  </si>
  <si>
    <t>CXLRF68KA003000000</t>
  </si>
  <si>
    <t>CXLRF68KA00D000000</t>
  </si>
  <si>
    <t>CXLRF68KA00F000000</t>
  </si>
  <si>
    <t>CXLRF68KA01D000000</t>
  </si>
  <si>
    <t>CXLLF68KA001000000</t>
  </si>
  <si>
    <t>CONDULETA TIPO "LL", FERALOY/ELECTROGALV.,CON PINTURA ACRILICA DE ALUMINIO, FORMA 8, AREA NO PELIGROSA, ROSCA HEMBRA</t>
  </si>
  <si>
    <t>CXLLF68KA002000000</t>
  </si>
  <si>
    <t>CXLLF68KA003000000</t>
  </si>
  <si>
    <t>CXLLF68KA00D000000</t>
  </si>
  <si>
    <t>CXLLF68KA00F000000</t>
  </si>
  <si>
    <t>CXLLF68KA01D000000</t>
  </si>
  <si>
    <t>CXT0F68KA001000000</t>
  </si>
  <si>
    <t>CONDULETA TIPO "T", FERALOY/ELECTROGALV.,CON PINTURA ACRILICA DE ALUMINIO, FORMA 8, AREA NO PELIGROSA, ROSCA HEMBRA</t>
  </si>
  <si>
    <t>CXT0F68KA002000000</t>
  </si>
  <si>
    <t>CXT0F68KA003000000</t>
  </si>
  <si>
    <t>CXT0F68KA00D000000</t>
  </si>
  <si>
    <t>CXT0F68KA00F000000</t>
  </si>
  <si>
    <t>CXT0F68KA01D000000</t>
  </si>
  <si>
    <t>CCC0S4H0C001003000</t>
  </si>
  <si>
    <t>TUBO RIGIDO DE ACERO GALVANIZADO EN CALIENTE, PARED GRUESA, CON ANILLO DE ACOPLAMIENTO, ROSCA MACHO X ROSCA HEMBRA</t>
  </si>
  <si>
    <t>CCC0S4H0C002003000</t>
  </si>
  <si>
    <t>CCC0S4H0C003003000</t>
  </si>
  <si>
    <t>CCC0S4H0C004003000</t>
  </si>
  <si>
    <t>CCC0S4H0C006003000</t>
  </si>
  <si>
    <t>CCC0S4H0C00F003000</t>
  </si>
  <si>
    <t>CCC0S4H0C01D003000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</si>
</sst>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0" fillId="0" borderId="0" xfId="0" quotePrefix="1"/>
    <xf numFmtId="0" fontId="1" fillId="3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70A5-DE9F-41ED-ABAF-F4F1AF63033E}">
  <dimension ref="A1:BA44"/>
  <sheetViews>
    <sheetView workbookViewId="0">
      <selection activeCell="B22" sqref="B22"/>
    </sheetView>
  </sheetViews>
  <sheetFormatPr defaultRowHeight="15" x14ac:dyDescent="0.25"/>
  <cols>
    <col min="1" max="1" width="26.28515625" bestFit="1" customWidth="1"/>
    <col min="2" max="2" width="30" bestFit="1" customWidth="1"/>
    <col min="3" max="3" width="12.85546875" bestFit="1" customWidth="1"/>
    <col min="4" max="4" width="13.7109375" bestFit="1" customWidth="1"/>
    <col min="5" max="5" width="16.140625" bestFit="1" customWidth="1"/>
    <col min="6" max="6" width="14.7109375" bestFit="1" customWidth="1"/>
    <col min="7" max="7" width="16.140625" bestFit="1" customWidth="1"/>
    <col min="8" max="8" width="14.7109375" bestFit="1" customWidth="1"/>
    <col min="9" max="9" width="16.140625" bestFit="1" customWidth="1"/>
    <col min="10" max="10" width="14.7109375" bestFit="1" customWidth="1"/>
    <col min="11" max="11" width="16.140625" bestFit="1" customWidth="1"/>
    <col min="12" max="12" width="14.7109375" bestFit="1" customWidth="1"/>
    <col min="13" max="13" width="16.140625" bestFit="1" customWidth="1"/>
    <col min="14" max="14" width="14.7109375" bestFit="1" customWidth="1"/>
    <col min="15" max="15" width="12.85546875" bestFit="1" customWidth="1"/>
    <col min="16" max="18" width="15.5703125" bestFit="1" customWidth="1"/>
    <col min="53" max="53" width="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53" x14ac:dyDescent="0.25">
      <c r="A2" t="s">
        <v>18</v>
      </c>
      <c r="B2" s="2" t="s">
        <v>20</v>
      </c>
      <c r="C2" s="2" t="s">
        <v>19</v>
      </c>
      <c r="BA2">
        <v>1000</v>
      </c>
    </row>
    <row r="3" spans="1:53" x14ac:dyDescent="0.25">
      <c r="A3" t="s">
        <v>21</v>
      </c>
      <c r="B3" s="2" t="s">
        <v>20</v>
      </c>
      <c r="C3" s="2" t="s">
        <v>22</v>
      </c>
      <c r="BA3">
        <v>1000</v>
      </c>
    </row>
    <row r="4" spans="1:53" x14ac:dyDescent="0.25">
      <c r="A4" t="s">
        <v>23</v>
      </c>
      <c r="B4" s="2" t="s">
        <v>20</v>
      </c>
      <c r="C4" s="2" t="s">
        <v>24</v>
      </c>
      <c r="BA4">
        <v>1000</v>
      </c>
    </row>
    <row r="5" spans="1:53" x14ac:dyDescent="0.25">
      <c r="A5" t="s">
        <v>25</v>
      </c>
      <c r="C5" s="2" t="s">
        <v>19</v>
      </c>
      <c r="BA5">
        <v>1000</v>
      </c>
    </row>
    <row r="6" spans="1:53" x14ac:dyDescent="0.25">
      <c r="A6" t="s">
        <v>26</v>
      </c>
      <c r="C6" s="2" t="s">
        <v>27</v>
      </c>
      <c r="BA6">
        <v>1000</v>
      </c>
    </row>
    <row r="7" spans="1:53" x14ac:dyDescent="0.25">
      <c r="A7" t="s">
        <v>28</v>
      </c>
      <c r="B7" s="2" t="s">
        <v>20</v>
      </c>
      <c r="C7" s="2" t="s">
        <v>29</v>
      </c>
      <c r="BA7">
        <v>1000</v>
      </c>
    </row>
    <row r="8" spans="1:53" x14ac:dyDescent="0.25">
      <c r="A8" t="s">
        <v>30</v>
      </c>
      <c r="C8" s="2" t="s">
        <v>19</v>
      </c>
      <c r="BA8">
        <v>1000</v>
      </c>
    </row>
    <row r="9" spans="1:53" x14ac:dyDescent="0.25">
      <c r="A9" t="s">
        <v>31</v>
      </c>
      <c r="B9" s="2" t="s">
        <v>20</v>
      </c>
      <c r="C9" s="2" t="s">
        <v>32</v>
      </c>
      <c r="BA9">
        <v>1000</v>
      </c>
    </row>
    <row r="10" spans="1:53" x14ac:dyDescent="0.25">
      <c r="A10" t="s">
        <v>33</v>
      </c>
      <c r="B10" s="2" t="s">
        <v>20</v>
      </c>
      <c r="C10" s="2" t="s">
        <v>34</v>
      </c>
      <c r="BA10">
        <v>1000</v>
      </c>
    </row>
    <row r="11" spans="1:53" x14ac:dyDescent="0.25">
      <c r="A11" t="s">
        <v>35</v>
      </c>
      <c r="C11" s="2" t="s">
        <v>19</v>
      </c>
      <c r="BA11">
        <v>1000</v>
      </c>
    </row>
    <row r="12" spans="1:53" x14ac:dyDescent="0.25">
      <c r="A12" t="s">
        <v>36</v>
      </c>
      <c r="C12" s="2" t="s">
        <v>37</v>
      </c>
      <c r="BA12">
        <v>1000</v>
      </c>
    </row>
    <row r="13" spans="1:53" x14ac:dyDescent="0.25">
      <c r="A13" t="s">
        <v>38</v>
      </c>
      <c r="C13" s="2" t="s">
        <v>34</v>
      </c>
      <c r="BA13">
        <v>1000</v>
      </c>
    </row>
    <row r="14" spans="1:53" x14ac:dyDescent="0.25">
      <c r="A14" t="s">
        <v>39</v>
      </c>
      <c r="B14" s="2" t="s">
        <v>40</v>
      </c>
      <c r="F14">
        <v>0</v>
      </c>
      <c r="H14">
        <v>0</v>
      </c>
      <c r="O14">
        <v>1</v>
      </c>
      <c r="P14" s="2" t="s">
        <v>20</v>
      </c>
      <c r="Q14" s="2" t="s">
        <v>41</v>
      </c>
    </row>
    <row r="15" spans="1:53" x14ac:dyDescent="0.25">
      <c r="A15" t="s">
        <v>42</v>
      </c>
      <c r="B15" s="2" t="s">
        <v>41</v>
      </c>
      <c r="F15">
        <v>0</v>
      </c>
      <c r="O15">
        <v>1</v>
      </c>
      <c r="P15" s="2" t="s">
        <v>20</v>
      </c>
    </row>
    <row r="16" spans="1:53" x14ac:dyDescent="0.25">
      <c r="A16" t="s">
        <v>43</v>
      </c>
      <c r="B16" s="2" t="s">
        <v>44</v>
      </c>
      <c r="F16">
        <v>0</v>
      </c>
      <c r="H16">
        <v>0</v>
      </c>
      <c r="J16">
        <v>0</v>
      </c>
      <c r="O16">
        <v>1</v>
      </c>
      <c r="P16" s="2" t="s">
        <v>20</v>
      </c>
      <c r="Q16" s="2" t="s">
        <v>41</v>
      </c>
      <c r="R16" s="2" t="s">
        <v>40</v>
      </c>
    </row>
    <row r="17" spans="1:18" x14ac:dyDescent="0.25">
      <c r="A17" t="s">
        <v>45</v>
      </c>
      <c r="B17" s="2" t="s">
        <v>20</v>
      </c>
      <c r="O17">
        <v>1</v>
      </c>
    </row>
    <row r="18" spans="1:18" x14ac:dyDescent="0.25">
      <c r="A18" t="s">
        <v>46</v>
      </c>
      <c r="B18" s="2" t="s">
        <v>40</v>
      </c>
      <c r="F18">
        <v>0</v>
      </c>
      <c r="H18">
        <v>0</v>
      </c>
      <c r="O18">
        <v>1</v>
      </c>
      <c r="P18" s="2" t="s">
        <v>20</v>
      </c>
      <c r="Q18" s="2" t="s">
        <v>41</v>
      </c>
    </row>
    <row r="19" spans="1:18" x14ac:dyDescent="0.25">
      <c r="A19" t="s">
        <v>47</v>
      </c>
      <c r="B19" s="2" t="s">
        <v>40</v>
      </c>
      <c r="F19">
        <v>0</v>
      </c>
      <c r="H19">
        <v>0</v>
      </c>
      <c r="O19">
        <v>1</v>
      </c>
      <c r="P19" s="2" t="s">
        <v>20</v>
      </c>
      <c r="Q19" s="2" t="s">
        <v>41</v>
      </c>
    </row>
    <row r="20" spans="1:18" x14ac:dyDescent="0.25">
      <c r="A20" t="s">
        <v>48</v>
      </c>
      <c r="B20" s="2" t="s">
        <v>41</v>
      </c>
      <c r="F20">
        <v>0</v>
      </c>
      <c r="O20">
        <v>1</v>
      </c>
      <c r="P20" s="2" t="s">
        <v>20</v>
      </c>
    </row>
    <row r="21" spans="1:18" x14ac:dyDescent="0.25">
      <c r="A21" t="s">
        <v>49</v>
      </c>
      <c r="B21" s="2" t="s">
        <v>41</v>
      </c>
      <c r="F21">
        <v>0</v>
      </c>
      <c r="O21">
        <v>1</v>
      </c>
      <c r="P21" s="2" t="s">
        <v>20</v>
      </c>
    </row>
    <row r="22" spans="1:18" x14ac:dyDescent="0.25">
      <c r="A22" t="s">
        <v>50</v>
      </c>
      <c r="B22" s="2" t="s">
        <v>44</v>
      </c>
      <c r="F22">
        <v>0</v>
      </c>
      <c r="H22">
        <v>0</v>
      </c>
      <c r="J22">
        <v>0</v>
      </c>
      <c r="O22">
        <v>1</v>
      </c>
      <c r="P22" s="2" t="s">
        <v>20</v>
      </c>
      <c r="Q22" s="2" t="s">
        <v>41</v>
      </c>
      <c r="R22" s="2" t="s">
        <v>40</v>
      </c>
    </row>
    <row r="23" spans="1:18" x14ac:dyDescent="0.25">
      <c r="A23" t="s">
        <v>51</v>
      </c>
      <c r="B23" s="2" t="s">
        <v>44</v>
      </c>
      <c r="F23">
        <v>0</v>
      </c>
      <c r="H23">
        <v>0</v>
      </c>
      <c r="J23">
        <v>0</v>
      </c>
      <c r="O23">
        <v>1</v>
      </c>
      <c r="P23" s="2" t="s">
        <v>20</v>
      </c>
      <c r="Q23" s="2" t="s">
        <v>41</v>
      </c>
      <c r="R23" s="2" t="s">
        <v>40</v>
      </c>
    </row>
    <row r="24" spans="1:18" x14ac:dyDescent="0.25">
      <c r="A24" t="s">
        <v>52</v>
      </c>
      <c r="B24" s="2" t="s">
        <v>20</v>
      </c>
      <c r="O24">
        <v>1</v>
      </c>
    </row>
    <row r="25" spans="1:18" x14ac:dyDescent="0.25">
      <c r="A25" t="s">
        <v>53</v>
      </c>
      <c r="B25" s="2" t="s">
        <v>20</v>
      </c>
      <c r="O25">
        <v>1</v>
      </c>
    </row>
    <row r="28" spans="1:18" x14ac:dyDescent="0.25">
      <c r="B28" s="3" t="s">
        <v>54</v>
      </c>
      <c r="C28" s="3"/>
    </row>
    <row r="29" spans="1:18" x14ac:dyDescent="0.25">
      <c r="B29" t="s">
        <v>55</v>
      </c>
      <c r="C29" s="4">
        <v>8</v>
      </c>
    </row>
    <row r="30" spans="1:18" x14ac:dyDescent="0.25">
      <c r="B30" t="s">
        <v>56</v>
      </c>
      <c r="C30" s="4">
        <v>5</v>
      </c>
    </row>
    <row r="31" spans="1:18" x14ac:dyDescent="0.25">
      <c r="B31" t="s">
        <v>57</v>
      </c>
      <c r="C31" s="4">
        <v>3</v>
      </c>
    </row>
    <row r="33" spans="2:3" x14ac:dyDescent="0.25">
      <c r="B33" s="3" t="s">
        <v>58</v>
      </c>
      <c r="C33" s="3"/>
    </row>
    <row r="34" spans="2:3" x14ac:dyDescent="0.25">
      <c r="B34" t="s">
        <v>59</v>
      </c>
      <c r="C34" s="4">
        <v>4</v>
      </c>
    </row>
    <row r="35" spans="2:3" x14ac:dyDescent="0.25">
      <c r="B35" t="s">
        <v>60</v>
      </c>
      <c r="C35" s="4">
        <v>1</v>
      </c>
    </row>
    <row r="36" spans="2:3" x14ac:dyDescent="0.25">
      <c r="B36" t="s">
        <v>61</v>
      </c>
      <c r="C36" s="4">
        <v>1</v>
      </c>
    </row>
    <row r="37" spans="2:3" x14ac:dyDescent="0.25">
      <c r="B37" t="s">
        <v>62</v>
      </c>
      <c r="C37" s="4">
        <v>2</v>
      </c>
    </row>
    <row r="40" spans="2:3" x14ac:dyDescent="0.25">
      <c r="B40" s="3" t="s">
        <v>63</v>
      </c>
      <c r="C40" s="3"/>
    </row>
    <row r="41" spans="2:3" x14ac:dyDescent="0.25">
      <c r="B41" t="s">
        <v>64</v>
      </c>
      <c r="C41" s="4">
        <f>SUBTOTAL(109,BA2:BA25)</f>
        <v>12000</v>
      </c>
    </row>
    <row r="42" spans="2:3" x14ac:dyDescent="0.25">
      <c r="B42" t="s">
        <v>65</v>
      </c>
      <c r="C42" s="4">
        <f>C41/1000</f>
        <v>12</v>
      </c>
    </row>
    <row r="43" spans="2:3" x14ac:dyDescent="0.25">
      <c r="B43" t="s">
        <v>66</v>
      </c>
      <c r="C43" s="4">
        <f>C41/25.4</f>
        <v>472.44094488188978</v>
      </c>
    </row>
    <row r="44" spans="2:3" x14ac:dyDescent="0.25">
      <c r="B44" t="s">
        <v>67</v>
      </c>
      <c r="C44" s="4">
        <f>ROUNDUP(C42/3, 0)</f>
        <v>4</v>
      </c>
    </row>
  </sheetData>
  <autoFilter ref="A1:R25" xr:uid="{BB8570A5-DE9F-41ED-ABAF-F4F1AF6303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8335-1FE4-4D67-B7BB-325B3042022C}">
  <dimension ref="A1:C33"/>
  <sheetViews>
    <sheetView tabSelected="1" workbookViewId="0">
      <selection activeCell="F12" sqref="F12"/>
    </sheetView>
  </sheetViews>
  <sheetFormatPr defaultRowHeight="15" x14ac:dyDescent="0.25"/>
  <cols>
    <col min="1" max="1" width="20.140625" bestFit="1" customWidth="1"/>
    <col min="2" max="2" width="120.42578125" bestFit="1" customWidth="1"/>
    <col min="3" max="3" width="10.140625" bestFit="1" customWidth="1"/>
  </cols>
  <sheetData>
    <row r="1" spans="1:3" x14ac:dyDescent="0.25">
      <c r="A1" t="s">
        <v>68</v>
      </c>
      <c r="B1" t="s">
        <v>69</v>
      </c>
      <c r="C1" t="s">
        <v>1</v>
      </c>
    </row>
    <row r="2" spans="1:3" x14ac:dyDescent="0.25">
      <c r="A2" t="s">
        <v>70</v>
      </c>
      <c r="B2" t="s">
        <v>71</v>
      </c>
      <c r="C2" s="6">
        <v>1</v>
      </c>
    </row>
    <row r="3" spans="1:3" x14ac:dyDescent="0.25">
      <c r="A3" t="s">
        <v>72</v>
      </c>
      <c r="B3" t="s">
        <v>71</v>
      </c>
      <c r="C3" s="6">
        <v>2</v>
      </c>
    </row>
    <row r="4" spans="1:3" x14ac:dyDescent="0.25">
      <c r="A4" t="s">
        <v>73</v>
      </c>
      <c r="B4" t="s">
        <v>71</v>
      </c>
      <c r="C4" s="6">
        <v>3</v>
      </c>
    </row>
    <row r="5" spans="1:3" x14ac:dyDescent="0.25">
      <c r="A5" t="s">
        <v>74</v>
      </c>
      <c r="B5" t="s">
        <v>71</v>
      </c>
      <c r="C5" s="6">
        <v>4</v>
      </c>
    </row>
    <row r="6" spans="1:3" x14ac:dyDescent="0.25">
      <c r="A6" t="s">
        <v>75</v>
      </c>
      <c r="B6" t="s">
        <v>71</v>
      </c>
      <c r="C6" s="6">
        <v>0.5</v>
      </c>
    </row>
    <row r="7" spans="1:3" x14ac:dyDescent="0.25">
      <c r="A7" t="s">
        <v>76</v>
      </c>
      <c r="B7" t="s">
        <v>71</v>
      </c>
      <c r="C7" s="6">
        <v>0.75</v>
      </c>
    </row>
    <row r="8" spans="1:3" x14ac:dyDescent="0.25">
      <c r="A8" t="s">
        <v>77</v>
      </c>
      <c r="B8" t="s">
        <v>71</v>
      </c>
      <c r="C8" s="6">
        <v>1.5</v>
      </c>
    </row>
    <row r="9" spans="1:3" x14ac:dyDescent="0.25">
      <c r="A9" t="s">
        <v>78</v>
      </c>
      <c r="B9" t="s">
        <v>79</v>
      </c>
      <c r="C9" s="6">
        <v>1</v>
      </c>
    </row>
    <row r="10" spans="1:3" x14ac:dyDescent="0.25">
      <c r="A10" t="s">
        <v>80</v>
      </c>
      <c r="B10" t="s">
        <v>79</v>
      </c>
      <c r="C10" s="6">
        <v>2</v>
      </c>
    </row>
    <row r="11" spans="1:3" x14ac:dyDescent="0.25">
      <c r="A11" t="s">
        <v>81</v>
      </c>
      <c r="B11" t="s">
        <v>79</v>
      </c>
      <c r="C11" s="6">
        <v>3</v>
      </c>
    </row>
    <row r="12" spans="1:3" x14ac:dyDescent="0.25">
      <c r="A12" t="s">
        <v>82</v>
      </c>
      <c r="B12" t="s">
        <v>79</v>
      </c>
      <c r="C12" s="6">
        <v>0.5</v>
      </c>
    </row>
    <row r="13" spans="1:3" x14ac:dyDescent="0.25">
      <c r="A13" t="s">
        <v>83</v>
      </c>
      <c r="B13" t="s">
        <v>79</v>
      </c>
      <c r="C13" s="6">
        <v>0.75</v>
      </c>
    </row>
    <row r="14" spans="1:3" x14ac:dyDescent="0.25">
      <c r="A14" t="s">
        <v>84</v>
      </c>
      <c r="B14" t="s">
        <v>79</v>
      </c>
      <c r="C14" s="6">
        <v>1.5</v>
      </c>
    </row>
    <row r="15" spans="1:3" x14ac:dyDescent="0.25">
      <c r="A15" t="s">
        <v>85</v>
      </c>
      <c r="B15" t="s">
        <v>86</v>
      </c>
      <c r="C15" s="6">
        <v>1</v>
      </c>
    </row>
    <row r="16" spans="1:3" x14ac:dyDescent="0.25">
      <c r="A16" t="s">
        <v>87</v>
      </c>
      <c r="B16" t="s">
        <v>86</v>
      </c>
      <c r="C16" s="6">
        <v>2</v>
      </c>
    </row>
    <row r="17" spans="1:3" x14ac:dyDescent="0.25">
      <c r="A17" t="s">
        <v>88</v>
      </c>
      <c r="B17" t="s">
        <v>86</v>
      </c>
      <c r="C17" s="6">
        <v>3</v>
      </c>
    </row>
    <row r="18" spans="1:3" x14ac:dyDescent="0.25">
      <c r="A18" t="s">
        <v>89</v>
      </c>
      <c r="B18" t="s">
        <v>86</v>
      </c>
      <c r="C18" s="6">
        <v>0.5</v>
      </c>
    </row>
    <row r="19" spans="1:3" x14ac:dyDescent="0.25">
      <c r="A19" t="s">
        <v>90</v>
      </c>
      <c r="B19" t="s">
        <v>86</v>
      </c>
      <c r="C19" s="6">
        <v>0.75</v>
      </c>
    </row>
    <row r="20" spans="1:3" x14ac:dyDescent="0.25">
      <c r="A20" t="s">
        <v>91</v>
      </c>
      <c r="B20" t="s">
        <v>86</v>
      </c>
      <c r="C20" s="6">
        <v>1.5</v>
      </c>
    </row>
    <row r="21" spans="1:3" x14ac:dyDescent="0.25">
      <c r="A21" t="s">
        <v>92</v>
      </c>
      <c r="B21" s="5" t="s">
        <v>93</v>
      </c>
      <c r="C21" s="6">
        <v>1</v>
      </c>
    </row>
    <row r="22" spans="1:3" x14ac:dyDescent="0.25">
      <c r="A22" t="s">
        <v>94</v>
      </c>
      <c r="B22" s="5" t="s">
        <v>93</v>
      </c>
      <c r="C22" s="6">
        <v>2</v>
      </c>
    </row>
    <row r="23" spans="1:3" x14ac:dyDescent="0.25">
      <c r="A23" t="s">
        <v>95</v>
      </c>
      <c r="B23" s="5" t="s">
        <v>93</v>
      </c>
      <c r="C23" s="6">
        <v>3</v>
      </c>
    </row>
    <row r="24" spans="1:3" x14ac:dyDescent="0.25">
      <c r="A24" t="s">
        <v>96</v>
      </c>
      <c r="B24" s="5" t="s">
        <v>93</v>
      </c>
      <c r="C24" s="6">
        <v>0.5</v>
      </c>
    </row>
    <row r="25" spans="1:3" x14ac:dyDescent="0.25">
      <c r="A25" t="s">
        <v>97</v>
      </c>
      <c r="B25" s="5" t="s">
        <v>93</v>
      </c>
      <c r="C25" s="6">
        <v>0.75</v>
      </c>
    </row>
    <row r="26" spans="1:3" x14ac:dyDescent="0.25">
      <c r="A26" t="s">
        <v>98</v>
      </c>
      <c r="B26" s="5" t="s">
        <v>93</v>
      </c>
      <c r="C26" s="6">
        <v>1.5</v>
      </c>
    </row>
    <row r="27" spans="1:3" x14ac:dyDescent="0.25">
      <c r="A27" t="s">
        <v>99</v>
      </c>
      <c r="B27" t="s">
        <v>100</v>
      </c>
      <c r="C27" s="6">
        <v>1</v>
      </c>
    </row>
    <row r="28" spans="1:3" x14ac:dyDescent="0.25">
      <c r="A28" t="s">
        <v>101</v>
      </c>
      <c r="B28" t="s">
        <v>100</v>
      </c>
      <c r="C28" s="6">
        <v>2</v>
      </c>
    </row>
    <row r="29" spans="1:3" x14ac:dyDescent="0.25">
      <c r="A29" t="s">
        <v>102</v>
      </c>
      <c r="B29" t="s">
        <v>100</v>
      </c>
      <c r="C29" s="6">
        <v>3</v>
      </c>
    </row>
    <row r="30" spans="1:3" x14ac:dyDescent="0.25">
      <c r="A30" t="s">
        <v>103</v>
      </c>
      <c r="B30" t="s">
        <v>100</v>
      </c>
      <c r="C30" s="6">
        <v>4</v>
      </c>
    </row>
    <row r="31" spans="1:3" x14ac:dyDescent="0.25">
      <c r="A31" t="s">
        <v>104</v>
      </c>
      <c r="B31" t="s">
        <v>100</v>
      </c>
      <c r="C31" s="6">
        <v>6</v>
      </c>
    </row>
    <row r="32" spans="1:3" x14ac:dyDescent="0.25">
      <c r="A32" t="s">
        <v>105</v>
      </c>
      <c r="B32" t="s">
        <v>100</v>
      </c>
      <c r="C32" s="6">
        <v>0.75</v>
      </c>
    </row>
    <row r="33" spans="1:3" x14ac:dyDescent="0.25">
      <c r="A33" t="s">
        <v>106</v>
      </c>
      <c r="B33" t="s">
        <v>100</v>
      </c>
      <c r="C33" s="6">
        <v>1.5</v>
      </c>
    </row>
  </sheetData>
  <autoFilter ref="A1:C1" xr:uid="{CC4A8335-1FE4-4D67-B7BB-325B304202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Inelectra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Felix</dc:creator>
  <cp:lastModifiedBy>Miguel Rodriguez</cp:lastModifiedBy>
  <dcterms:created xsi:type="dcterms:W3CDTF">2026-03-23T17:36:02Z</dcterms:created>
  <dcterms:modified xsi:type="dcterms:W3CDTF">2026-03-23T18:30:38Z</dcterms:modified>
</cp:coreProperties>
</file>